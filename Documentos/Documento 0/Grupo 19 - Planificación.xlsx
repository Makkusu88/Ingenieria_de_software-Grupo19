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filterPrivacy="1" codeName="ThisWorkbook"/>
  <xr:revisionPtr revIDLastSave="0" documentId="8_{3441A78F-DC8D-49C3-BE13-D6FF7C25CD86}" xr6:coauthVersionLast="47" xr6:coauthVersionMax="47" xr10:uidLastSave="{00000000-0000-0000-0000-000000000000}"/>
  <bookViews>
    <workbookView xWindow="4875" yWindow="1500" windowWidth="31635" windowHeight="1665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1" l="1"/>
  <c r="E3" i="11"/>
  <c r="H30" i="11"/>
  <c r="H7" i="11"/>
  <c r="E9" i="11" l="1"/>
  <c r="E26" i="11" l="1"/>
  <c r="F9" i="11"/>
  <c r="E27" i="11"/>
  <c r="E28" i="11" s="1"/>
  <c r="F28" i="11" s="1"/>
  <c r="F26" i="11"/>
  <c r="E10" i="11"/>
  <c r="E20" i="11"/>
  <c r="E21" i="11" s="1"/>
  <c r="E22" i="11" s="1"/>
  <c r="I5" i="11"/>
  <c r="I4" i="11" s="1"/>
  <c r="H26" i="11"/>
  <c r="H25" i="11"/>
  <c r="H12" i="11"/>
  <c r="H8" i="11"/>
  <c r="E23" i="11" l="1"/>
  <c r="E24" i="11" s="1"/>
  <c r="F22" i="11"/>
  <c r="F27" i="11"/>
  <c r="H27" i="11" s="1"/>
  <c r="H9" i="11"/>
  <c r="F10" i="11"/>
  <c r="E11" i="11" s="1"/>
  <c r="I6" i="11"/>
  <c r="E13" i="11" l="1"/>
  <c r="F13" i="11" s="1"/>
  <c r="F11" i="11"/>
  <c r="F20" i="11" s="1"/>
  <c r="F21" i="11" s="1"/>
  <c r="F23" i="11" s="1"/>
  <c r="F24" i="11" s="1"/>
  <c r="E29" i="11"/>
  <c r="J5" i="11"/>
  <c r="K5" i="11" s="1"/>
  <c r="L5" i="11" s="1"/>
  <c r="M5" i="11" s="1"/>
  <c r="N5" i="11" s="1"/>
  <c r="O5" i="11" s="1"/>
  <c r="P5" i="11" s="1"/>
  <c r="H10" i="11" l="1"/>
  <c r="H28" i="11"/>
  <c r="F29" i="11"/>
  <c r="H11" i="11"/>
  <c r="P4" i="11"/>
  <c r="Q5" i="11"/>
  <c r="R5" i="11" s="1"/>
  <c r="S5" i="11" s="1"/>
  <c r="T5" i="11" s="1"/>
  <c r="U5" i="11" s="1"/>
  <c r="V5" i="11" s="1"/>
  <c r="W5" i="11" s="1"/>
  <c r="J6" i="11"/>
  <c r="H29" i="11" l="1"/>
  <c r="E31" i="11"/>
  <c r="E14" i="11"/>
  <c r="H13" i="11"/>
  <c r="W4" i="11"/>
  <c r="X5" i="11"/>
  <c r="Y5" i="11" s="1"/>
  <c r="Z5" i="11" s="1"/>
  <c r="AA5" i="11" s="1"/>
  <c r="AB5" i="11" s="1"/>
  <c r="AC5" i="11" s="1"/>
  <c r="AD5" i="11" s="1"/>
  <c r="K6" i="11"/>
  <c r="E32" i="11" l="1"/>
  <c r="E33" i="11" s="1"/>
  <c r="F33" i="11" s="1"/>
  <c r="F31" i="11"/>
  <c r="F32" i="11" s="1"/>
  <c r="H31" i="11"/>
  <c r="E15" i="11"/>
  <c r="F14" i="11"/>
  <c r="H14" i="11"/>
  <c r="AE5" i="11"/>
  <c r="AF5" i="11" s="1"/>
  <c r="AG5" i="11" s="1"/>
  <c r="AH5" i="11" s="1"/>
  <c r="AI5" i="11" s="1"/>
  <c r="AJ5" i="11" s="1"/>
  <c r="AD4" i="11"/>
  <c r="L6" i="11"/>
  <c r="H33" i="11" l="1"/>
  <c r="H32" i="11"/>
  <c r="F15" i="11"/>
  <c r="E16" i="11"/>
  <c r="F16" i="11" s="1"/>
  <c r="H15" i="11"/>
  <c r="AK5" i="11"/>
  <c r="AL5" i="11" s="1"/>
  <c r="AM5" i="11" s="1"/>
  <c r="AN5" i="11" s="1"/>
  <c r="AO5" i="11" s="1"/>
  <c r="AP5" i="11" s="1"/>
  <c r="AQ5" i="11" s="1"/>
  <c r="M6" i="11"/>
  <c r="E17" i="11" l="1"/>
  <c r="H16" i="11"/>
  <c r="AR5" i="11"/>
  <c r="AS5" i="11" s="1"/>
  <c r="AK4" i="11"/>
  <c r="N6" i="11"/>
  <c r="E18" i="11" l="1"/>
  <c r="F17" i="11"/>
  <c r="AT5" i="11"/>
  <c r="AS6" i="11"/>
  <c r="AR4" i="11"/>
  <c r="O6" i="11"/>
  <c r="F18" i="11" l="1"/>
  <c r="H17" i="11"/>
  <c r="AU5" i="11"/>
  <c r="AT6" i="11"/>
  <c r="AV5" i="11" l="1"/>
  <c r="AU6" i="11"/>
  <c r="P6" i="11"/>
  <c r="Q6" i="11"/>
  <c r="AW5" i="11" l="1"/>
  <c r="AV6" i="11"/>
  <c r="R6" i="11"/>
  <c r="AX5" i="11" l="1"/>
  <c r="AY5" i="11" s="1"/>
  <c r="AY4" i="11" s="1"/>
  <c r="AW6" i="11"/>
  <c r="AZ5" i="11" l="1"/>
  <c r="S6" i="11"/>
  <c r="AX6" i="11"/>
  <c r="T6" i="11"/>
  <c r="AY6" i="11" l="1"/>
  <c r="BA5" i="11"/>
  <c r="AZ6" i="11"/>
  <c r="U6" i="11"/>
  <c r="BA6" i="11" l="1"/>
  <c r="BB5" i="11"/>
  <c r="V6" i="11"/>
  <c r="BB6" i="11" l="1"/>
  <c r="BC5" i="11"/>
  <c r="W6" i="11"/>
  <c r="BC6" i="11" l="1"/>
  <c r="BD5" i="11"/>
  <c r="X6" i="11"/>
  <c r="BE5" i="11" l="1"/>
  <c r="BD6" i="11"/>
  <c r="Y6" i="11"/>
  <c r="BE6" i="11" l="1"/>
  <c r="BF5" i="11"/>
  <c r="BF4" i="11" s="1"/>
  <c r="BF6" i="11" l="1"/>
  <c r="BG5" i="11"/>
  <c r="Z6"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<sst xmlns="http://schemas.openxmlformats.org/spreadsheetml/2006/main" count="89" uniqueCount="76">
  <si>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</si>
  <si>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Ing en software</t>
  </si>
  <si>
    <t>GRÁFICO GANTT SIMPLE de Vertex42.com</t>
  </si>
  <si>
    <t>Escriba el nombre de la compañía en la celda B2.</t>
  </si>
  <si>
    <t>La casona Cervecera</t>
  </si>
  <si>
    <t>https://www.vertex42.com/ExcelTemplates/simple-gantt-chart.html</t>
  </si>
  <si>
    <t>Escriba el nombre del responsable del proyecto en la celda B3. Escriba la fecha de comienzo del proyecto en la celda E3. Inicio del proyecto: la etiqueta se encuentra en la celda C3.</t>
  </si>
  <si>
    <t>Grupo 19</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</si>
  <si>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</si>
  <si>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</si>
  <si>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</si>
  <si>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</si>
  <si>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</si>
  <si>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</si>
  <si>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</si>
  <si>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</si>
  <si>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</si>
  <si>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</si>
  <si>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</si>
  <si>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</si>
  <si>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</si>
  <si>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Levantamiento de procesos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</si>
  <si>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</si>
  <si>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Identificar procesos principales</t>
  </si>
  <si>
    <t>Santiago Monsalve, Francisco Morales</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</si>
  <si>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</si>
  <si>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Analisis de funcionamiento</t>
  </si>
  <si>
    <t xml:space="preserve">Santiago Monsalve </t>
  </si>
  <si>
    <t>Modelar Bizagi</t>
  </si>
  <si>
    <t>Francisco Morales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</si>
  <si>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</si>
  <si>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Analisis</t>
  </si>
  <si>
    <t>Analisis de cadena de valor</t>
  </si>
  <si>
    <t>Gonzalo Zamarreño</t>
  </si>
  <si>
    <t>Analisis 5 fuerzas de porter</t>
  </si>
  <si>
    <t>Analisis FODA</t>
  </si>
  <si>
    <t>Fernando Quilaqueo</t>
  </si>
  <si>
    <t>Analisis PESTEL</t>
  </si>
  <si>
    <t>Aplicacion Herramiento cualitativa</t>
  </si>
  <si>
    <t>Santiago Monsalve</t>
  </si>
  <si>
    <t>Aplicacion Herramiento cuantitativa</t>
  </si>
  <si>
    <t>Requerimientos</t>
  </si>
  <si>
    <t>Requerimientos funcionales</t>
  </si>
  <si>
    <t>Max Fernandez</t>
  </si>
  <si>
    <t>Requerimientos No funcionales</t>
  </si>
  <si>
    <t>Casos de uso</t>
  </si>
  <si>
    <t>Diagrama de casos de uso</t>
  </si>
  <si>
    <t>Matriz de requerimiento vs casos de uso</t>
  </si>
  <si>
    <t>Bloque de título fase de ejemplo</t>
  </si>
  <si>
    <t>Desarrollo</t>
  </si>
  <si>
    <t xml:space="preserve">Desarrollo modulo pedidos </t>
  </si>
  <si>
    <t>Luis Flores</t>
  </si>
  <si>
    <t>Desarrollo modulo inventario</t>
  </si>
  <si>
    <t>Desarrollo interfaz</t>
  </si>
  <si>
    <t>Cristobal Osorio</t>
  </si>
  <si>
    <t>Integracion del sistema</t>
  </si>
  <si>
    <t>Esta es una fila vacía.</t>
  </si>
  <si>
    <t>Pruebas</t>
  </si>
  <si>
    <t>Esta fila indica el final de la programación del proyecto. NO escriba nada en esta fila. 
Inserte nuevas filas encima de ésta para continuar creando la programación del proyecto.</t>
  </si>
  <si>
    <t>Pruebas funcionales</t>
  </si>
  <si>
    <t>Grupo</t>
  </si>
  <si>
    <t>Pruebas de usuario</t>
  </si>
  <si>
    <t>Correccion de errores</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</si>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</sst>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dd\,\ m/d/yyyy"/>
    <numFmt numFmtId="167" formatCode="[$-C0A]d\ &quot;de&quot;\ mmmm\ &quot;de&quot;\ yyyy;@"/>
    <numFmt numFmtId="168" formatCode="d\-m\-yy;@"/>
    <numFmt numFmtId="169" formatCode="d"/>
  </numFmts>
  <fonts count="34">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1"/>
      <name val="Calibri"/>
      <family val="2"/>
      <scheme val="min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8" fillId="0" borderId="0"/>
    <xf numFmtId="43"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8"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41"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22" fillId="0" borderId="0" applyNumberFormat="0" applyFill="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11" applyNumberFormat="0" applyAlignment="0" applyProtection="0"/>
    <xf numFmtId="0" fontId="27" fillId="17" borderId="12" applyNumberFormat="0" applyAlignment="0" applyProtection="0"/>
    <xf numFmtId="0" fontId="28" fillId="17" borderId="11" applyNumberFormat="0" applyAlignment="0" applyProtection="0"/>
    <xf numFmtId="0" fontId="29" fillId="0" borderId="13" applyNumberFormat="0" applyFill="0" applyAlignment="0" applyProtection="0"/>
    <xf numFmtId="0" fontId="30" fillId="18" borderId="14" applyNumberFormat="0" applyAlignment="0" applyProtection="0"/>
    <xf numFmtId="0" fontId="31" fillId="0" borderId="0" applyNumberFormat="0" applyFill="0" applyBorder="0" applyAlignment="0" applyProtection="0"/>
    <xf numFmtId="0" fontId="7" fillId="19"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8"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8"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8"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8"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8"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8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2" fillId="0" borderId="0" xfId="0" applyFont="1" applyAlignment="1">
      <alignment horizontal="left" vertical="top"/>
    </xf>
    <xf numFmtId="0" fontId="14"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8" fontId="0" fillId="7" borderId="2" xfId="0" applyNumberFormat="1" applyFill="1" applyBorder="1" applyAlignment="1">
      <alignment horizontal="center" vertical="center"/>
    </xf>
    <xf numFmtId="168" fontId="4" fillId="7" borderId="2" xfId="0" applyNumberFormat="1" applyFont="1" applyFill="1" applyBorder="1" applyAlignment="1">
      <alignment horizontal="center" vertical="center"/>
    </xf>
    <xf numFmtId="168" fontId="0" fillId="8" borderId="2" xfId="0" applyNumberFormat="1" applyFill="1" applyBorder="1" applyAlignment="1">
      <alignment horizontal="center" vertical="center"/>
    </xf>
    <xf numFmtId="168" fontId="4" fillId="8" borderId="2" xfId="0" applyNumberFormat="1" applyFont="1" applyFill="1" applyBorder="1" applyAlignment="1">
      <alignment horizontal="center" vertical="center"/>
    </xf>
    <xf numFmtId="168" fontId="0" fillId="5" borderId="2" xfId="0" applyNumberFormat="1" applyFill="1" applyBorder="1" applyAlignment="1">
      <alignment horizontal="center" vertical="center"/>
    </xf>
    <xf numFmtId="168" fontId="4" fillId="5" borderId="2" xfId="0" applyNumberFormat="1" applyFont="1" applyFill="1" applyBorder="1" applyAlignment="1">
      <alignment horizontal="center" vertical="center"/>
    </xf>
    <xf numFmtId="168" fontId="7" fillId="10" borderId="2" xfId="10" applyFill="1">
      <alignment horizontal="center" vertical="center"/>
    </xf>
    <xf numFmtId="168" fontId="0" fillId="4" borderId="2" xfId="0" applyNumberFormat="1" applyFill="1" applyBorder="1" applyAlignment="1">
      <alignment horizontal="center" vertical="center"/>
    </xf>
    <xf numFmtId="168" fontId="4" fillId="4" borderId="2" xfId="0" applyNumberFormat="1" applyFont="1" applyFill="1" applyBorder="1" applyAlignment="1">
      <alignment horizontal="center" vertical="center"/>
    </xf>
    <xf numFmtId="169" fontId="9" fillId="6" borderId="6" xfId="0" applyNumberFormat="1" applyFont="1" applyFill="1" applyBorder="1" applyAlignment="1">
      <alignment horizontal="center" vertical="center"/>
    </xf>
    <xf numFmtId="169" fontId="9" fillId="6" borderId="0" xfId="0" applyNumberFormat="1" applyFont="1" applyFill="1" applyAlignment="1">
      <alignment horizontal="center" vertical="center"/>
    </xf>
    <xf numFmtId="169" fontId="9" fillId="6" borderId="7" xfId="0" applyNumberFormat="1" applyFont="1" applyFill="1" applyBorder="1" applyAlignment="1">
      <alignment horizontal="center" vertical="center"/>
    </xf>
    <xf numFmtId="168" fontId="7" fillId="2" borderId="2" xfId="10" applyFill="1">
      <alignment horizontal="center" vertical="center"/>
    </xf>
    <xf numFmtId="168" fontId="7" fillId="3" borderId="2" xfId="10" applyFill="1">
      <alignment horizontal="center" vertical="center"/>
    </xf>
    <xf numFmtId="168" fontId="7" fillId="9" borderId="2" xfId="10" applyFill="1">
      <alignment horizontal="center" vertical="center"/>
    </xf>
    <xf numFmtId="0" fontId="33" fillId="2" borderId="2" xfId="11" applyFont="1" applyFill="1">
      <alignment horizontal="center" vertical="center"/>
    </xf>
    <xf numFmtId="0" fontId="0" fillId="7" borderId="2" xfId="0" applyFill="1" applyBorder="1" applyAlignment="1">
      <alignment horizontal="left" vertical="center" indent="1"/>
    </xf>
    <xf numFmtId="0" fontId="0" fillId="2" borderId="2" xfId="12" applyFont="1" applyFill="1">
      <alignment horizontal="left" vertical="center" indent="2"/>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0" fontId="7" fillId="0" borderId="0" xfId="8" applyAlignment="1">
      <alignment horizontal="right" indent="1"/>
    </xf>
    <xf numFmtId="0" fontId="7" fillId="0" borderId="7" xfId="8" applyBorder="1" applyAlignment="1">
      <alignment horizontal="right" indent="1"/>
    </xf>
    <xf numFmtId="166" fontId="7" fillId="0" borderId="3" xfId="9" applyAlignment="1">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3"/>
  <sheetViews>
    <sheetView showGridLines="0" tabSelected="1" showRuler="0" zoomScaleNormal="100" zoomScalePageLayoutView="70" workbookViewId="0">
      <pane ySplit="6" topLeftCell="A8" activePane="bottomLeft" state="frozen"/>
      <selection pane="bottomLeft" activeCell="BS4" sqref="BM4:BS6"/>
    </sheetView>
  </sheetViews>
  <sheetFormatPr defaultColWidth="9.140625" defaultRowHeight="30" customHeight="1"/>
  <cols>
    <col min="1" max="1" width="2.7109375" style="34" customWidth="1"/>
    <col min="2" max="2" width="34.140625" customWidth="1"/>
    <col min="3" max="3" width="30.7109375" customWidth="1"/>
    <col min="4" max="4" width="10.7109375" customWidth="1"/>
    <col min="5" max="5" width="10.42578125" style="5" customWidth="1"/>
    <col min="6" max="6" width="10.42578125" customWidth="1"/>
    <col min="7" max="7" width="2.7109375" customWidth="1"/>
    <col min="8" max="8" width="9.42578125" hidden="1" customWidth="1"/>
    <col min="9" max="56" width="3.28515625" customWidth="1"/>
    <col min="57" max="57" width="3.42578125" customWidth="1"/>
    <col min="58" max="64" width="3.28515625" customWidth="1"/>
    <col min="69" max="70" width="10.28515625"/>
    <col min="71" max="71" width="9.140625" bestFit="1" customWidth="1"/>
  </cols>
  <sheetData>
    <row r="1" spans="1:64" ht="30" customHeight="1">
      <c r="A1" s="35" t="s">
        <v>0</v>
      </c>
      <c r="B1" s="37" t="s">
        <v>1</v>
      </c>
      <c r="C1" s="1"/>
      <c r="D1" s="2"/>
      <c r="E1" s="4"/>
      <c r="F1" s="23"/>
      <c r="H1" s="2"/>
      <c r="I1" s="53" t="s">
        <v>2</v>
      </c>
    </row>
    <row r="2" spans="1:64" ht="30" customHeight="1">
      <c r="A2" s="34" t="s">
        <v>3</v>
      </c>
      <c r="B2" s="38" t="s">
        <v>4</v>
      </c>
      <c r="I2" s="54" t="s">
        <v>5</v>
      </c>
    </row>
    <row r="3" spans="1:64" ht="30" customHeight="1">
      <c r="A3" s="34" t="s">
        <v>6</v>
      </c>
      <c r="B3" s="39" t="s">
        <v>7</v>
      </c>
      <c r="C3" s="77" t="s">
        <v>8</v>
      </c>
      <c r="D3" s="78"/>
      <c r="E3" s="79">
        <f>DATE(2026, 4, 4)</f>
        <v>46116</v>
      </c>
      <c r="F3" s="79"/>
    </row>
    <row r="4" spans="1:64" ht="30" customHeight="1">
      <c r="A4" s="35" t="s">
        <v>9</v>
      </c>
      <c r="C4" s="77" t="s">
        <v>10</v>
      </c>
      <c r="D4" s="78"/>
      <c r="E4" s="6">
        <v>2</v>
      </c>
      <c r="I4" s="74">
        <f>I5</f>
        <v>46118</v>
      </c>
      <c r="J4" s="75"/>
      <c r="K4" s="75"/>
      <c r="L4" s="75"/>
      <c r="M4" s="75"/>
      <c r="N4" s="75"/>
      <c r="O4" s="76"/>
      <c r="P4" s="74">
        <f>P5</f>
        <v>46125</v>
      </c>
      <c r="Q4" s="75"/>
      <c r="R4" s="75"/>
      <c r="S4" s="75"/>
      <c r="T4" s="75"/>
      <c r="U4" s="75"/>
      <c r="V4" s="76"/>
      <c r="W4" s="74">
        <f>W5</f>
        <v>46132</v>
      </c>
      <c r="X4" s="75"/>
      <c r="Y4" s="75"/>
      <c r="Z4" s="75"/>
      <c r="AA4" s="75"/>
      <c r="AB4" s="75"/>
      <c r="AC4" s="76"/>
      <c r="AD4" s="74">
        <f>AD5</f>
        <v>46139</v>
      </c>
      <c r="AE4" s="75"/>
      <c r="AF4" s="75"/>
      <c r="AG4" s="75"/>
      <c r="AH4" s="75"/>
      <c r="AI4" s="75"/>
      <c r="AJ4" s="76"/>
      <c r="AK4" s="74">
        <f>AK5</f>
        <v>46146</v>
      </c>
      <c r="AL4" s="75"/>
      <c r="AM4" s="75"/>
      <c r="AN4" s="75"/>
      <c r="AO4" s="75"/>
      <c r="AP4" s="75"/>
      <c r="AQ4" s="76"/>
      <c r="AR4" s="74">
        <f>AR5</f>
        <v>46153</v>
      </c>
      <c r="AS4" s="75"/>
      <c r="AT4" s="75"/>
      <c r="AU4" s="75"/>
      <c r="AV4" s="75"/>
      <c r="AW4" s="75"/>
      <c r="AX4" s="76"/>
      <c r="AY4" s="74">
        <f>AY5</f>
        <v>46160</v>
      </c>
      <c r="AZ4" s="75"/>
      <c r="BA4" s="75"/>
      <c r="BB4" s="75"/>
      <c r="BC4" s="75"/>
      <c r="BD4" s="75"/>
      <c r="BE4" s="76"/>
      <c r="BF4" s="74">
        <f>BF5</f>
        <v>46167</v>
      </c>
      <c r="BG4" s="75"/>
      <c r="BH4" s="75"/>
      <c r="BI4" s="75"/>
      <c r="BJ4" s="75"/>
      <c r="BK4" s="75"/>
      <c r="BL4" s="76"/>
    </row>
    <row r="5" spans="1:64" ht="15" customHeight="1">
      <c r="A5" s="35" t="s">
        <v>11</v>
      </c>
      <c r="B5" s="52"/>
      <c r="C5" s="52"/>
      <c r="D5" s="52"/>
      <c r="E5" s="52"/>
      <c r="F5" s="52"/>
      <c r="G5" s="52"/>
      <c r="I5" s="65">
        <f>Inicio_del_proyecto-WEEKDAY(Inicio_del_proyecto,1)+2+7*(Semana_para_mostrar-1)</f>
        <v>46118</v>
      </c>
      <c r="J5" s="66">
        <f>I5+1</f>
        <v>46119</v>
      </c>
      <c r="K5" s="66">
        <f t="shared" ref="K5:AX5" si="0">J5+1</f>
        <v>46120</v>
      </c>
      <c r="L5" s="66">
        <f t="shared" si="0"/>
        <v>46121</v>
      </c>
      <c r="M5" s="66">
        <f t="shared" si="0"/>
        <v>46122</v>
      </c>
      <c r="N5" s="66">
        <f t="shared" si="0"/>
        <v>46123</v>
      </c>
      <c r="O5" s="67">
        <f t="shared" si="0"/>
        <v>46124</v>
      </c>
      <c r="P5" s="65">
        <f>O5+1</f>
        <v>46125</v>
      </c>
      <c r="Q5" s="66">
        <f>P5+1</f>
        <v>46126</v>
      </c>
      <c r="R5" s="66">
        <f t="shared" si="0"/>
        <v>46127</v>
      </c>
      <c r="S5" s="66">
        <f t="shared" si="0"/>
        <v>46128</v>
      </c>
      <c r="T5" s="66">
        <f t="shared" si="0"/>
        <v>46129</v>
      </c>
      <c r="U5" s="66">
        <f t="shared" si="0"/>
        <v>46130</v>
      </c>
      <c r="V5" s="67">
        <f t="shared" si="0"/>
        <v>46131</v>
      </c>
      <c r="W5" s="65">
        <f>V5+1</f>
        <v>46132</v>
      </c>
      <c r="X5" s="66">
        <f>W5+1</f>
        <v>46133</v>
      </c>
      <c r="Y5" s="66">
        <f t="shared" si="0"/>
        <v>46134</v>
      </c>
      <c r="Z5" s="66">
        <f t="shared" si="0"/>
        <v>46135</v>
      </c>
      <c r="AA5" s="66">
        <f t="shared" si="0"/>
        <v>46136</v>
      </c>
      <c r="AB5" s="66">
        <f t="shared" si="0"/>
        <v>46137</v>
      </c>
      <c r="AC5" s="67">
        <f t="shared" si="0"/>
        <v>46138</v>
      </c>
      <c r="AD5" s="65">
        <f>AC5+1</f>
        <v>46139</v>
      </c>
      <c r="AE5" s="66">
        <f>AD5+1</f>
        <v>46140</v>
      </c>
      <c r="AF5" s="66">
        <f t="shared" si="0"/>
        <v>46141</v>
      </c>
      <c r="AG5" s="66">
        <f t="shared" si="0"/>
        <v>46142</v>
      </c>
      <c r="AH5" s="66">
        <f t="shared" si="0"/>
        <v>46143</v>
      </c>
      <c r="AI5" s="66">
        <f t="shared" si="0"/>
        <v>46144</v>
      </c>
      <c r="AJ5" s="67">
        <f t="shared" si="0"/>
        <v>46145</v>
      </c>
      <c r="AK5" s="65">
        <f>AJ5+1</f>
        <v>46146</v>
      </c>
      <c r="AL5" s="66">
        <f>AK5+1</f>
        <v>46147</v>
      </c>
      <c r="AM5" s="66">
        <f t="shared" si="0"/>
        <v>46148</v>
      </c>
      <c r="AN5" s="66">
        <f t="shared" si="0"/>
        <v>46149</v>
      </c>
      <c r="AO5" s="66">
        <f t="shared" si="0"/>
        <v>46150</v>
      </c>
      <c r="AP5" s="66">
        <f t="shared" si="0"/>
        <v>46151</v>
      </c>
      <c r="AQ5" s="67">
        <f t="shared" si="0"/>
        <v>46152</v>
      </c>
      <c r="AR5" s="65">
        <f>AQ5+1</f>
        <v>46153</v>
      </c>
      <c r="AS5" s="66">
        <f>AR5+1</f>
        <v>46154</v>
      </c>
      <c r="AT5" s="66">
        <f t="shared" si="0"/>
        <v>46155</v>
      </c>
      <c r="AU5" s="66">
        <f t="shared" si="0"/>
        <v>46156</v>
      </c>
      <c r="AV5" s="66">
        <f t="shared" si="0"/>
        <v>46157</v>
      </c>
      <c r="AW5" s="66">
        <f t="shared" si="0"/>
        <v>46158</v>
      </c>
      <c r="AX5" s="67">
        <f t="shared" si="0"/>
        <v>46159</v>
      </c>
      <c r="AY5" s="65">
        <f>AX5+1</f>
        <v>46160</v>
      </c>
      <c r="AZ5" s="66">
        <f>AY5+1</f>
        <v>46161</v>
      </c>
      <c r="BA5" s="66">
        <f t="shared" ref="BA5:BE5" si="1">AZ5+1</f>
        <v>46162</v>
      </c>
      <c r="BB5" s="66">
        <f t="shared" si="1"/>
        <v>46163</v>
      </c>
      <c r="BC5" s="66">
        <f t="shared" si="1"/>
        <v>46164</v>
      </c>
      <c r="BD5" s="66">
        <f t="shared" si="1"/>
        <v>46165</v>
      </c>
      <c r="BE5" s="67">
        <f t="shared" si="1"/>
        <v>46166</v>
      </c>
      <c r="BF5" s="65">
        <f>BE5+1</f>
        <v>46167</v>
      </c>
      <c r="BG5" s="66">
        <f>BF5+1</f>
        <v>46168</v>
      </c>
      <c r="BH5" s="66">
        <f t="shared" ref="BH5:BL5" si="2">BG5+1</f>
        <v>46169</v>
      </c>
      <c r="BI5" s="66">
        <f t="shared" si="2"/>
        <v>46170</v>
      </c>
      <c r="BJ5" s="66">
        <f t="shared" si="2"/>
        <v>46171</v>
      </c>
      <c r="BK5" s="66">
        <f t="shared" si="2"/>
        <v>46172</v>
      </c>
      <c r="BL5" s="67">
        <f t="shared" si="2"/>
        <v>46173</v>
      </c>
    </row>
    <row r="6" spans="1:64" ht="30" customHeight="1">
      <c r="A6" s="35" t="s">
        <v>12</v>
      </c>
      <c r="B6" s="7" t="s">
        <v>13</v>
      </c>
      <c r="C6" s="8" t="s">
        <v>14</v>
      </c>
      <c r="D6" s="8" t="s">
        <v>15</v>
      </c>
      <c r="E6" s="8" t="s">
        <v>16</v>
      </c>
      <c r="F6" s="8" t="s">
        <v>17</v>
      </c>
      <c r="G6" s="8"/>
      <c r="H6" s="8" t="s">
        <v>18</v>
      </c>
      <c r="I6" s="9" t="str">
        <f t="shared" ref="I6" si="3">LEFT(TEXT(I5,"ddd"),1)</f>
        <v>M</v>
      </c>
      <c r="J6" s="9" t="str">
        <f t="shared" ref="J6:AR6" si="4">LEFT(TEXT(J5,"ddd"),1)</f>
        <v>T</v>
      </c>
      <c r="K6" s="9" t="str">
        <f t="shared" si="4"/>
        <v>W</v>
      </c>
      <c r="L6" s="9" t="str">
        <f t="shared" si="4"/>
        <v>T</v>
      </c>
      <c r="M6" s="9" t="str">
        <f t="shared" si="4"/>
        <v>F</v>
      </c>
      <c r="N6" s="9" t="str">
        <f t="shared" si="4"/>
        <v>S</v>
      </c>
      <c r="O6" s="9" t="str">
        <f t="shared" si="4"/>
        <v>S</v>
      </c>
      <c r="P6" s="9" t="str">
        <f t="shared" si="4"/>
        <v>M</v>
      </c>
      <c r="Q6" s="9" t="str">
        <f t="shared" si="4"/>
        <v>T</v>
      </c>
      <c r="R6" s="9" t="str">
        <f t="shared" si="4"/>
        <v>W</v>
      </c>
      <c r="S6" s="9" t="str">
        <f t="shared" si="4"/>
        <v>T</v>
      </c>
      <c r="T6" s="9" t="str">
        <f t="shared" si="4"/>
        <v>F</v>
      </c>
      <c r="U6" s="9" t="str">
        <f t="shared" si="4"/>
        <v>S</v>
      </c>
      <c r="V6" s="9" t="str">
        <f t="shared" si="4"/>
        <v>S</v>
      </c>
      <c r="W6" s="9" t="str">
        <f t="shared" si="4"/>
        <v>M</v>
      </c>
      <c r="X6" s="9" t="str">
        <f t="shared" si="4"/>
        <v>T</v>
      </c>
      <c r="Y6" s="9" t="str">
        <f t="shared" si="4"/>
        <v>W</v>
      </c>
      <c r="Z6" s="9" t="str">
        <f t="shared" si="4"/>
        <v>T</v>
      </c>
      <c r="AA6" s="9" t="str">
        <f t="shared" si="4"/>
        <v>F</v>
      </c>
      <c r="AB6" s="9" t="str">
        <f t="shared" si="4"/>
        <v>S</v>
      </c>
      <c r="AC6" s="9" t="str">
        <f t="shared" si="4"/>
        <v>S</v>
      </c>
      <c r="AD6" s="9" t="str">
        <f t="shared" si="4"/>
        <v>M</v>
      </c>
      <c r="AE6" s="9" t="str">
        <f t="shared" si="4"/>
        <v>T</v>
      </c>
      <c r="AF6" s="9" t="str">
        <f t="shared" si="4"/>
        <v>W</v>
      </c>
      <c r="AG6" s="9" t="str">
        <f t="shared" si="4"/>
        <v>T</v>
      </c>
      <c r="AH6" s="9" t="str">
        <f t="shared" si="4"/>
        <v>F</v>
      </c>
      <c r="AI6" s="9" t="str">
        <f t="shared" si="4"/>
        <v>S</v>
      </c>
      <c r="AJ6" s="9" t="str">
        <f t="shared" si="4"/>
        <v>S</v>
      </c>
      <c r="AK6" s="9" t="str">
        <f t="shared" si="4"/>
        <v>M</v>
      </c>
      <c r="AL6" s="9" t="str">
        <f t="shared" si="4"/>
        <v>T</v>
      </c>
      <c r="AM6" s="9" t="str">
        <f t="shared" si="4"/>
        <v>W</v>
      </c>
      <c r="AN6" s="9" t="str">
        <f t="shared" si="4"/>
        <v>T</v>
      </c>
      <c r="AO6" s="9" t="str">
        <f t="shared" si="4"/>
        <v>F</v>
      </c>
      <c r="AP6" s="9" t="str">
        <f t="shared" si="4"/>
        <v>S</v>
      </c>
      <c r="AQ6" s="9" t="str">
        <f t="shared" si="4"/>
        <v>S</v>
      </c>
      <c r="AR6" s="9" t="str">
        <f t="shared" si="4"/>
        <v>M</v>
      </c>
      <c r="AS6" s="9" t="str">
        <f t="shared" ref="AS6:BL6" si="5">LEFT(TEXT(AS5,"ddd"),1)</f>
        <v>T</v>
      </c>
      <c r="AT6" s="9" t="str">
        <f t="shared" si="5"/>
        <v>W</v>
      </c>
      <c r="AU6" s="9" t="str">
        <f t="shared" si="5"/>
        <v>T</v>
      </c>
      <c r="AV6" s="9" t="str">
        <f t="shared" si="5"/>
        <v>F</v>
      </c>
      <c r="AW6" s="9" t="str">
        <f t="shared" si="5"/>
        <v>S</v>
      </c>
      <c r="AX6" s="9" t="str">
        <f t="shared" si="5"/>
        <v>S</v>
      </c>
      <c r="AY6" s="9" t="str">
        <f t="shared" si="5"/>
        <v>M</v>
      </c>
      <c r="AZ6" s="9" t="str">
        <f t="shared" si="5"/>
        <v>T</v>
      </c>
      <c r="BA6" s="9" t="str">
        <f t="shared" si="5"/>
        <v>W</v>
      </c>
      <c r="BB6" s="9" t="str">
        <f t="shared" si="5"/>
        <v>T</v>
      </c>
      <c r="BC6" s="9" t="str">
        <f t="shared" si="5"/>
        <v>F</v>
      </c>
      <c r="BD6" s="9" t="str">
        <f t="shared" si="5"/>
        <v>S</v>
      </c>
      <c r="BE6" s="9" t="str">
        <f t="shared" si="5"/>
        <v>S</v>
      </c>
      <c r="BF6" s="9" t="str">
        <f t="shared" si="5"/>
        <v>M</v>
      </c>
      <c r="BG6" s="9" t="str">
        <f t="shared" si="5"/>
        <v>T</v>
      </c>
      <c r="BH6" s="9" t="str">
        <f t="shared" si="5"/>
        <v>W</v>
      </c>
      <c r="BI6" s="9" t="str">
        <f t="shared" si="5"/>
        <v>T</v>
      </c>
      <c r="BJ6" s="9" t="str">
        <f t="shared" si="5"/>
        <v>F</v>
      </c>
      <c r="BK6" s="9" t="str">
        <f t="shared" si="5"/>
        <v>S</v>
      </c>
      <c r="BL6" s="9" t="str">
        <f t="shared" si="5"/>
        <v>S</v>
      </c>
    </row>
    <row r="7" spans="1:64" ht="30" hidden="1" customHeight="1">
      <c r="A7" s="34" t="s">
        <v>19</v>
      </c>
      <c r="C7" s="36"/>
      <c r="E7"/>
      <c r="H7" t="str">
        <f ca="1">IF(OR(ISBLANK(task_start),ISBLANK(task_end)),"",task_end-task_start+1)</f>
        <v/>
      </c>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s="3" customFormat="1" ht="30" customHeight="1">
      <c r="A8" s="35" t="s">
        <v>20</v>
      </c>
      <c r="B8" s="11" t="s">
        <v>21</v>
      </c>
      <c r="C8" s="40"/>
      <c r="D8" s="12"/>
      <c r="E8" s="56"/>
      <c r="F8" s="57"/>
      <c r="G8" s="10"/>
      <c r="H8" s="10" t="str">
        <f t="shared" ref="H8:H33" ca="1" si="6">IF(OR(ISBLANK(task_start),ISBLANK(task_end)),"",task_end-task_start+1)</f>
        <v/>
      </c>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s="3" customFormat="1" ht="30" customHeight="1">
      <c r="A9" s="35" t="s">
        <v>22</v>
      </c>
      <c r="B9" s="73" t="s">
        <v>23</v>
      </c>
      <c r="C9" s="71" t="s">
        <v>24</v>
      </c>
      <c r="D9" s="13">
        <v>1</v>
      </c>
      <c r="E9" s="68">
        <f>Inicio_del_proyecto</f>
        <v>46116</v>
      </c>
      <c r="F9" s="68">
        <f>E9+3</f>
        <v>46119</v>
      </c>
      <c r="G9" s="10"/>
      <c r="H9" s="10">
        <f t="shared" ca="1" si="6"/>
        <v>4</v>
      </c>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s="3" customFormat="1" ht="30" customHeight="1">
      <c r="A10" s="35" t="s">
        <v>25</v>
      </c>
      <c r="B10" s="48" t="s">
        <v>26</v>
      </c>
      <c r="C10" s="41" t="s">
        <v>27</v>
      </c>
      <c r="D10" s="13">
        <v>1</v>
      </c>
      <c r="E10" s="68">
        <f>F9</f>
        <v>46119</v>
      </c>
      <c r="F10" s="68">
        <f>E10+2</f>
        <v>46121</v>
      </c>
      <c r="G10" s="10"/>
      <c r="H10" s="10">
        <f t="shared" ca="1" si="6"/>
        <v>3</v>
      </c>
      <c r="I10" s="21"/>
      <c r="J10" s="21"/>
      <c r="K10" s="21"/>
      <c r="L10" s="21"/>
      <c r="M10" s="21"/>
      <c r="N10" s="21"/>
      <c r="O10" s="21"/>
      <c r="P10" s="21"/>
      <c r="Q10" s="21"/>
      <c r="R10" s="21"/>
      <c r="S10" s="21"/>
      <c r="T10" s="21"/>
      <c r="U10" s="22"/>
      <c r="V10" s="22"/>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s="3" customFormat="1" ht="30" customHeight="1">
      <c r="A11" s="34"/>
      <c r="B11" s="48" t="s">
        <v>28</v>
      </c>
      <c r="C11" s="41" t="s">
        <v>29</v>
      </c>
      <c r="D11" s="13">
        <v>1</v>
      </c>
      <c r="E11" s="68">
        <f>F10</f>
        <v>46121</v>
      </c>
      <c r="F11" s="68">
        <f>E11+10</f>
        <v>46131</v>
      </c>
      <c r="G11" s="10"/>
      <c r="H11" s="10">
        <f t="shared" ca="1" si="6"/>
        <v>11</v>
      </c>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s="3" customFormat="1" ht="30" customHeight="1">
      <c r="A12" s="35" t="s">
        <v>30</v>
      </c>
      <c r="B12" s="14" t="s">
        <v>31</v>
      </c>
      <c r="C12" s="42"/>
      <c r="D12" s="42"/>
      <c r="E12" s="58"/>
      <c r="F12" s="59"/>
      <c r="G12" s="10"/>
      <c r="H12" s="10" t="str">
        <f t="shared" ca="1" si="6"/>
        <v/>
      </c>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row>
    <row r="13" spans="1:64" s="3" customFormat="1" ht="30" customHeight="1">
      <c r="A13" s="35"/>
      <c r="B13" s="49" t="s">
        <v>32</v>
      </c>
      <c r="C13" s="43" t="s">
        <v>33</v>
      </c>
      <c r="D13" s="13">
        <v>1</v>
      </c>
      <c r="E13" s="69">
        <f>E11+1</f>
        <v>46122</v>
      </c>
      <c r="F13" s="69">
        <f>E13+9</f>
        <v>46131</v>
      </c>
      <c r="G13" s="10"/>
      <c r="H13" s="10">
        <f t="shared" ca="1" si="6"/>
        <v>10</v>
      </c>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row>
    <row r="14" spans="1:64" s="3" customFormat="1" ht="30" customHeight="1">
      <c r="A14" s="34"/>
      <c r="B14" s="49" t="s">
        <v>34</v>
      </c>
      <c r="C14" s="43" t="s">
        <v>33</v>
      </c>
      <c r="D14" s="13">
        <v>1</v>
      </c>
      <c r="E14" s="69">
        <f>E13</f>
        <v>46122</v>
      </c>
      <c r="F14" s="69">
        <f>E14+9</f>
        <v>46131</v>
      </c>
      <c r="G14" s="10"/>
      <c r="H14" s="10">
        <f t="shared" ca="1" si="6"/>
        <v>10</v>
      </c>
      <c r="I14" s="21"/>
      <c r="J14" s="21"/>
      <c r="K14" s="21"/>
      <c r="L14" s="21"/>
      <c r="M14" s="21"/>
      <c r="N14" s="21"/>
      <c r="O14" s="21"/>
      <c r="P14" s="21"/>
      <c r="Q14" s="21"/>
      <c r="R14" s="21"/>
      <c r="S14" s="21"/>
      <c r="T14" s="21"/>
      <c r="U14" s="22"/>
      <c r="V14" s="22"/>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row>
    <row r="15" spans="1:64" s="3" customFormat="1" ht="30" customHeight="1">
      <c r="A15" s="34"/>
      <c r="B15" s="49" t="s">
        <v>35</v>
      </c>
      <c r="C15" s="43" t="s">
        <v>36</v>
      </c>
      <c r="D15" s="13">
        <v>1</v>
      </c>
      <c r="E15" s="69">
        <f>E14+2</f>
        <v>46124</v>
      </c>
      <c r="F15" s="69">
        <f>E15+6</f>
        <v>46130</v>
      </c>
      <c r="G15" s="10"/>
      <c r="H15" s="10">
        <f t="shared" ca="1" si="6"/>
        <v>7</v>
      </c>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row>
    <row r="16" spans="1:64" s="3" customFormat="1" ht="30" customHeight="1">
      <c r="A16" s="34"/>
      <c r="B16" s="49" t="s">
        <v>37</v>
      </c>
      <c r="C16" s="43" t="s">
        <v>36</v>
      </c>
      <c r="D16" s="13">
        <v>1</v>
      </c>
      <c r="E16" s="69">
        <f>E15+2</f>
        <v>46126</v>
      </c>
      <c r="F16" s="69">
        <f>E16+5</f>
        <v>46131</v>
      </c>
      <c r="G16" s="10"/>
      <c r="H16" s="10">
        <f t="shared" ca="1" si="6"/>
        <v>6</v>
      </c>
      <c r="I16" s="21"/>
      <c r="J16" s="21"/>
      <c r="K16" s="21"/>
      <c r="L16" s="21"/>
      <c r="M16" s="21"/>
      <c r="N16" s="21"/>
      <c r="O16" s="21"/>
      <c r="P16" s="21"/>
      <c r="Q16" s="21"/>
      <c r="R16" s="21"/>
      <c r="S16" s="21"/>
      <c r="T16" s="21"/>
      <c r="U16" s="21"/>
      <c r="V16" s="21"/>
      <c r="W16" s="21"/>
      <c r="X16" s="21"/>
      <c r="Y16" s="22"/>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row>
    <row r="17" spans="1:64" s="3" customFormat="1" ht="30" customHeight="1">
      <c r="A17" s="34"/>
      <c r="B17" s="49" t="s">
        <v>38</v>
      </c>
      <c r="C17" s="43" t="s">
        <v>39</v>
      </c>
      <c r="D17" s="13">
        <v>1</v>
      </c>
      <c r="E17" s="69">
        <f>E16</f>
        <v>46126</v>
      </c>
      <c r="F17" s="69">
        <f>E17+5</f>
        <v>46131</v>
      </c>
      <c r="G17" s="10"/>
      <c r="H17" s="10">
        <f t="shared" ca="1" si="6"/>
        <v>6</v>
      </c>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row>
    <row r="18" spans="1:64" s="3" customFormat="1" ht="30" customHeight="1">
      <c r="A18" s="34"/>
      <c r="B18" s="49" t="s">
        <v>40</v>
      </c>
      <c r="C18" s="43" t="s">
        <v>29</v>
      </c>
      <c r="D18" s="13">
        <v>1</v>
      </c>
      <c r="E18" s="69">
        <f>E17</f>
        <v>46126</v>
      </c>
      <c r="F18" s="69">
        <f>F17</f>
        <v>46131</v>
      </c>
      <c r="G18" s="10"/>
      <c r="H18" s="10"/>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row>
    <row r="19" spans="1:64" s="3" customFormat="1" ht="30" customHeight="1">
      <c r="A19" s="34"/>
      <c r="B19" s="11" t="s">
        <v>41</v>
      </c>
      <c r="C19" s="40"/>
      <c r="D19" s="40"/>
      <c r="E19" s="56"/>
      <c r="F19" s="57"/>
      <c r="G19" s="10"/>
      <c r="H19" s="10" t="str">
        <f t="shared" ca="1" si="6"/>
        <v/>
      </c>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row>
    <row r="20" spans="1:64" s="3" customFormat="1" ht="30" customHeight="1">
      <c r="A20" s="34"/>
      <c r="B20" s="72" t="s">
        <v>42</v>
      </c>
      <c r="C20" s="40" t="s">
        <v>43</v>
      </c>
      <c r="D20" s="13">
        <v>1</v>
      </c>
      <c r="E20" s="56">
        <f>E9</f>
        <v>46116</v>
      </c>
      <c r="F20" s="57">
        <f>F11</f>
        <v>46131</v>
      </c>
      <c r="G20" s="10"/>
      <c r="H20" s="10"/>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row>
    <row r="21" spans="1:64" s="3" customFormat="1" ht="30" customHeight="1">
      <c r="A21" s="34"/>
      <c r="B21" s="72" t="s">
        <v>44</v>
      </c>
      <c r="C21" s="40" t="s">
        <v>43</v>
      </c>
      <c r="D21" s="13">
        <v>1</v>
      </c>
      <c r="E21" s="56">
        <f>E20</f>
        <v>46116</v>
      </c>
      <c r="F21" s="57">
        <f>F20</f>
        <v>46131</v>
      </c>
      <c r="G21" s="10"/>
      <c r="H21" s="10"/>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row>
    <row r="22" spans="1:64" s="3" customFormat="1" ht="30" customHeight="1">
      <c r="A22" s="34"/>
      <c r="B22" s="72" t="s">
        <v>45</v>
      </c>
      <c r="C22" s="40" t="s">
        <v>43</v>
      </c>
      <c r="D22" s="13">
        <v>1</v>
      </c>
      <c r="E22" s="56">
        <f>E21+ 8</f>
        <v>46124</v>
      </c>
      <c r="F22" s="57">
        <f>E22+3</f>
        <v>46127</v>
      </c>
      <c r="G22" s="10"/>
      <c r="H22" s="10"/>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row>
    <row r="23" spans="1:64" s="3" customFormat="1" ht="30" customHeight="1">
      <c r="A23" s="34"/>
      <c r="B23" s="72" t="s">
        <v>46</v>
      </c>
      <c r="C23" s="40" t="s">
        <v>43</v>
      </c>
      <c r="D23" s="13">
        <v>1</v>
      </c>
      <c r="E23" s="56">
        <f>E22+2</f>
        <v>46126</v>
      </c>
      <c r="F23" s="57">
        <f>F21</f>
        <v>46131</v>
      </c>
      <c r="G23" s="10"/>
      <c r="H23" s="10"/>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row>
    <row r="24" spans="1:64" s="3" customFormat="1" ht="30" customHeight="1">
      <c r="A24" s="34"/>
      <c r="B24" s="72" t="s">
        <v>47</v>
      </c>
      <c r="C24" s="40" t="s">
        <v>43</v>
      </c>
      <c r="D24" s="13">
        <v>1</v>
      </c>
      <c r="E24" s="56">
        <f>E23+1</f>
        <v>46127</v>
      </c>
      <c r="F24" s="57">
        <f>F23</f>
        <v>46131</v>
      </c>
      <c r="G24" s="10"/>
      <c r="H24" s="10"/>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row>
    <row r="25" spans="1:64" s="3" customFormat="1" ht="30" customHeight="1">
      <c r="A25" s="34" t="s">
        <v>48</v>
      </c>
      <c r="B25" s="15" t="s">
        <v>49</v>
      </c>
      <c r="C25" s="44"/>
      <c r="D25" s="16"/>
      <c r="E25" s="60"/>
      <c r="F25" s="61"/>
      <c r="G25" s="10"/>
      <c r="H25" s="10" t="str">
        <f t="shared" ca="1" si="6"/>
        <v/>
      </c>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row>
    <row r="26" spans="1:64" s="3" customFormat="1" ht="30" customHeight="1">
      <c r="A26" s="34"/>
      <c r="B26" s="50" t="s">
        <v>50</v>
      </c>
      <c r="C26" s="45" t="s">
        <v>51</v>
      </c>
      <c r="D26" s="17"/>
      <c r="E26" s="62">
        <f>E9+24</f>
        <v>46140</v>
      </c>
      <c r="F26" s="62">
        <f>E26+10</f>
        <v>46150</v>
      </c>
      <c r="G26" s="10"/>
      <c r="H26" s="10">
        <f t="shared" ca="1" si="6"/>
        <v>11</v>
      </c>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row>
    <row r="27" spans="1:64" s="3" customFormat="1" ht="30" customHeight="1">
      <c r="A27" s="34"/>
      <c r="B27" s="50" t="s">
        <v>52</v>
      </c>
      <c r="C27" s="45" t="s">
        <v>51</v>
      </c>
      <c r="D27" s="17"/>
      <c r="E27" s="62">
        <f>E26+7</f>
        <v>46147</v>
      </c>
      <c r="F27" s="62">
        <f>E27+12</f>
        <v>46159</v>
      </c>
      <c r="G27" s="10"/>
      <c r="H27" s="10">
        <f t="shared" ca="1" si="6"/>
        <v>13</v>
      </c>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row>
    <row r="28" spans="1:64" s="3" customFormat="1" ht="30" customHeight="1">
      <c r="A28" s="34"/>
      <c r="B28" s="50" t="s">
        <v>53</v>
      </c>
      <c r="C28" s="45" t="s">
        <v>54</v>
      </c>
      <c r="D28" s="17"/>
      <c r="E28" s="62">
        <f>E27+7</f>
        <v>46154</v>
      </c>
      <c r="F28" s="62">
        <f>E28+10</f>
        <v>46164</v>
      </c>
      <c r="G28" s="10"/>
      <c r="H28" s="10">
        <f t="shared" ca="1" si="6"/>
        <v>11</v>
      </c>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row>
    <row r="29" spans="1:64" s="3" customFormat="1" ht="30" customHeight="1">
      <c r="A29" s="34"/>
      <c r="B29" s="50" t="s">
        <v>55</v>
      </c>
      <c r="C29" s="45" t="s">
        <v>54</v>
      </c>
      <c r="D29" s="17"/>
      <c r="E29" s="62">
        <f>F28+1</f>
        <v>46165</v>
      </c>
      <c r="F29" s="62">
        <f>E29+4</f>
        <v>46169</v>
      </c>
      <c r="G29" s="10"/>
      <c r="H29" s="10">
        <f t="shared" ca="1" si="6"/>
        <v>5</v>
      </c>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row>
    <row r="30" spans="1:64" s="3" customFormat="1" ht="30" customHeight="1">
      <c r="A30" s="34" t="s">
        <v>56</v>
      </c>
      <c r="B30" s="18" t="s">
        <v>57</v>
      </c>
      <c r="C30" s="46"/>
      <c r="D30" s="19"/>
      <c r="E30" s="63"/>
      <c r="F30" s="64"/>
      <c r="G30" s="10"/>
      <c r="H30" s="10" t="str">
        <f t="shared" ca="1" si="6"/>
        <v/>
      </c>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row>
    <row r="31" spans="1:64" s="3" customFormat="1" ht="30" customHeight="1">
      <c r="A31" s="35" t="s">
        <v>58</v>
      </c>
      <c r="B31" s="51" t="s">
        <v>59</v>
      </c>
      <c r="C31" s="47" t="s">
        <v>60</v>
      </c>
      <c r="D31" s="20"/>
      <c r="E31" s="70">
        <f>F29</f>
        <v>46169</v>
      </c>
      <c r="F31" s="70">
        <f>E31+7</f>
        <v>46176</v>
      </c>
      <c r="G31" s="10"/>
      <c r="H31" s="10">
        <f t="shared" ca="1" si="6"/>
        <v>8</v>
      </c>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row>
    <row r="32" spans="1:64" ht="30" customHeight="1">
      <c r="B32" s="51" t="s">
        <v>61</v>
      </c>
      <c r="C32" s="47" t="s">
        <v>60</v>
      </c>
      <c r="D32" s="20"/>
      <c r="E32" s="70">
        <f>E31 +2</f>
        <v>46171</v>
      </c>
      <c r="F32" s="70">
        <f>F31+2</f>
        <v>46178</v>
      </c>
      <c r="G32" s="10"/>
      <c r="H32" s="10">
        <f t="shared" ca="1" si="6"/>
        <v>8</v>
      </c>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row>
    <row r="33" spans="2:64" ht="30" customHeight="1">
      <c r="B33" s="51" t="s">
        <v>62</v>
      </c>
      <c r="C33" s="47" t="s">
        <v>60</v>
      </c>
      <c r="D33" s="20"/>
      <c r="E33" s="70">
        <f>E32</f>
        <v>46171</v>
      </c>
      <c r="F33" s="70">
        <f>E33+9</f>
        <v>46180</v>
      </c>
      <c r="G33" s="10"/>
      <c r="H33" s="10">
        <f t="shared" ca="1" si="6"/>
        <v>10</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11 D13:D18 D20:D33">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6">
      <formula>AND(TODAY()&gt;=I$5,TODAY()&lt;J$5)</formula>
    </cfRule>
  </conditionalFormatting>
  <conditionalFormatting sqref="I7:BL33">
    <cfRule type="expression" dxfId="1" priority="30">
      <formula>AND(task_start&lt;=I$5,ROUNDDOWN((task_end-task_start+1)*task_progress,0)+task_start-1&gt;=I$5)</formula>
    </cfRule>
    <cfRule type="expression" dxfId="0" priority="31"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D7:D11 D13:D18 D20:D33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cols>
    <col min="1" max="1" width="87.140625" style="24" customWidth="1"/>
    <col min="2" max="16384" width="9.140625" style="2"/>
  </cols>
  <sheetData>
    <row r="1" spans="1:2" ht="46.5" customHeight="1"/>
    <row r="2" spans="1:2" s="26" customFormat="1" ht="15.75">
      <c r="A2" s="25" t="s">
        <v>2</v>
      </c>
      <c r="B2" s="25"/>
    </row>
    <row r="3" spans="1:2" s="30" customFormat="1" ht="27" customHeight="1">
      <c r="A3" s="55" t="s">
        <v>5</v>
      </c>
      <c r="B3" s="31"/>
    </row>
    <row r="4" spans="1:2" s="27" customFormat="1" ht="26.25">
      <c r="A4" s="28" t="s">
        <v>63</v>
      </c>
    </row>
    <row r="5" spans="1:2" ht="74.099999999999994" customHeight="1">
      <c r="A5" s="29" t="s">
        <v>64</v>
      </c>
    </row>
    <row r="6" spans="1:2" ht="26.25" customHeight="1">
      <c r="A6" s="28" t="s">
        <v>65</v>
      </c>
    </row>
    <row r="7" spans="1:2" s="24" customFormat="1" ht="215.25" customHeight="1">
      <c r="A7" s="33" t="s">
        <v>66</v>
      </c>
    </row>
    <row r="8" spans="1:2" s="27" customFormat="1" ht="26.25">
      <c r="A8" s="28" t="s">
        <v>67</v>
      </c>
    </row>
    <row r="9" spans="1:2" ht="75">
      <c r="A9" s="29" t="s">
        <v>68</v>
      </c>
    </row>
    <row r="10" spans="1:2" s="24" customFormat="1" ht="27.95" customHeight="1">
      <c r="A10" s="32" t="s">
        <v>69</v>
      </c>
    </row>
    <row r="11" spans="1:2" s="27" customFormat="1" ht="26.25">
      <c r="A11" s="28" t="s">
        <v>70</v>
      </c>
    </row>
    <row r="12" spans="1:2" ht="30">
      <c r="A12" s="29" t="s">
        <v>71</v>
      </c>
    </row>
    <row r="13" spans="1:2" s="24" customFormat="1" ht="27.95" customHeight="1">
      <c r="A13" s="32" t="s">
        <v>72</v>
      </c>
    </row>
    <row r="14" spans="1:2" s="27" customFormat="1" ht="26.25">
      <c r="A14" s="28" t="s">
        <v>73</v>
      </c>
    </row>
    <row r="15" spans="1:2" ht="96.75" customHeight="1">
      <c r="A15" s="29" t="s">
        <v>74</v>
      </c>
    </row>
    <row r="16" spans="1:2" ht="90">
      <c r="A16" s="29" t="s">
        <v>75</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file>

<file path=customXml/itemProps2.xml><?xml version="1.0" encoding="utf-8"?>
<ds:datastoreItem xmlns:ds="http://schemas.openxmlformats.org/officeDocument/2006/customXml" ds:itemID="{5F80F839-78EF-4FF4-A673-3CC84279C232}"/>
</file>

<file path=customXml/itemProps3.xml><?xml version="1.0" encoding="utf-8"?>
<ds:datastoreItem xmlns:ds="http://schemas.openxmlformats.org/officeDocument/2006/customXml" ds:itemID="{AC3AD2E1-977A-4D4F-8EE8-D64B5FFADF75}"/>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2026-04-20T02:47:47Z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